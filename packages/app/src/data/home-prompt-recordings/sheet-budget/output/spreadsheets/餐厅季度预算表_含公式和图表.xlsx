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板" sheetId="1" state="visible" r:id="rId1"/>
    <sheet xmlns:r="http://schemas.openxmlformats.org/officeDocument/2006/relationships" name="预算假设" sheetId="2" state="visible" r:id="rId2"/>
    <sheet xmlns:r="http://schemas.openxmlformats.org/officeDocument/2006/relationships" name="预算明细" sheetId="3" state="visible" r:id="rId3"/>
    <sheet xmlns:r="http://schemas.openxmlformats.org/officeDocument/2006/relationships" name="季度汇总" sheetId="4" state="visible" r:id="rId4"/>
    <sheet xmlns:r="http://schemas.openxmlformats.org/officeDocument/2006/relationships" name="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¥#,##0;[Red](¥#,##0);-"/>
    <numFmt numFmtId="166" formatCode="0.0%;[Red](0.0%);-"/>
    <numFmt numFmtId="167" formatCode="¥#,##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3A"/>
    </font>
    <font>
      <color rgb="0017323A"/>
    </font>
    <font>
      <color rgb="000000FF"/>
    </font>
    <font>
      <b val="1"/>
      <color rgb="00FFFFFF"/>
      <sz val="18"/>
    </font>
    <font>
      <b val="1"/>
      <color rgb="001F4E5F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CE8"/>
      </patternFill>
    </fill>
    <fill>
      <patternFill patternType="solid">
        <fgColor rgb="00F7FAF9"/>
      </patternFill>
    </fill>
    <fill>
      <patternFill patternType="solid">
        <fgColor rgb="00FFF2CC"/>
      </patternFill>
    </fill>
    <fill>
      <patternFill patternType="solid">
        <fgColor rgb="00E9F2EF"/>
      </patternFill>
    </fill>
  </fills>
  <borders count="3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  <border>
      <left style="thin">
        <color rgb="00C9D6D2"/>
      </left>
      <right style="thin">
        <color rgb="00C9D6D2"/>
      </right>
      <top style="medium">
        <color rgb="001F4E5F"/>
      </top>
      <bottom style="medium">
        <color rgb="001F4E5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7" fontId="6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7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166" fontId="3" fillId="4" borderId="1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165" fontId="2" fillId="6" borderId="2" applyAlignment="1" pivotButton="0" quotePrefix="0" xfId="0">
      <alignment vertical="center" wrapText="1"/>
    </xf>
    <xf numFmtId="166" fontId="2" fillId="6" borderId="2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季度收入：预算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'仪表板'!B8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'仪表板'!$A$9:$A$12</f>
            </numRef>
          </cat>
          <val>
            <numRef>
              <f>'仪表板'!$B$9:$B$12</f>
            </numRef>
          </val>
        </ser>
        <ser>
          <idx val="1"/>
          <order val="1"/>
          <tx>
            <strRef>
              <f>'仪表板'!C8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'仪表板'!$A$9:$A$12</f>
            </numRef>
          </cat>
          <val>
            <numRef>
              <f>'仪表板'!$C$9:$C$12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实际利润率趋势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'仪表板'!F8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'仪表板'!$A$9:$A$12</f>
            </numRef>
          </cat>
          <val>
            <numRef>
              <f>'仪表板'!$F$9:$F$12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利润率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全年实际成本费用结构</a:t>
            </a:r>
          </a:p>
        </rich>
      </tx>
    </title>
    <plotArea>
      <pieChart>
        <varyColors val="1"/>
        <ser>
          <idx val="0"/>
          <order val="0"/>
          <tx>
            <strRef>
              <f>'仪表板'!B16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'仪表板'!$A$17:$A$22</f>
            </numRef>
          </cat>
          <val>
            <numRef>
              <f>'仪表板'!$B$17:$B$22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餐厅季度预算仪表板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全年预算收入</t>
        </is>
      </c>
      <c r="B3" s="3" t="n"/>
      <c r="C3" s="3" t="inlineStr">
        <is>
          <t>全年实际收入</t>
        </is>
      </c>
      <c r="D3" s="3" t="n"/>
      <c r="E3" s="3" t="inlineStr">
        <is>
          <t>全年预算利润</t>
        </is>
      </c>
      <c r="F3" s="3" t="n"/>
      <c r="G3" s="3" t="inlineStr">
        <is>
          <t>全年实际利润</t>
        </is>
      </c>
      <c r="H3" s="3" t="n"/>
      <c r="I3" s="3" t="inlineStr">
        <is>
          <t>实际利润率</t>
        </is>
      </c>
      <c r="J3" s="3" t="n"/>
      <c r="K3" s="3" t="inlineStr">
        <is>
          <t>目标利润率</t>
        </is>
      </c>
      <c r="L3" s="3" t="n"/>
    </row>
    <row r="4">
      <c r="A4" s="4">
        <f>季度汇总!B9</f>
        <v/>
      </c>
      <c r="B4" s="3" t="n"/>
      <c r="C4" s="4">
        <f>季度汇总!C9</f>
        <v/>
      </c>
      <c r="D4" s="3" t="n"/>
      <c r="E4" s="4">
        <f>季度汇总!H9</f>
        <v/>
      </c>
      <c r="F4" s="3" t="n"/>
      <c r="G4" s="4">
        <f>季度汇总!I9</f>
        <v/>
      </c>
      <c r="H4" s="3" t="n"/>
      <c r="I4" s="5">
        <f>季度汇总!J9</f>
        <v/>
      </c>
      <c r="J4" s="3" t="n"/>
      <c r="K4" s="5">
        <f>预算假设!B15</f>
        <v/>
      </c>
      <c r="L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6" t="inlineStr">
        <is>
          <t>图表数据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7" t="inlineStr">
        <is>
          <t>季度</t>
        </is>
      </c>
      <c r="B8" s="7" t="inlineStr">
        <is>
          <t>预算收入</t>
        </is>
      </c>
      <c r="C8" s="7" t="inlineStr">
        <is>
          <t>实际收入</t>
        </is>
      </c>
      <c r="D8" s="7" t="inlineStr">
        <is>
          <t>预算利润</t>
        </is>
      </c>
      <c r="E8" s="7" t="inlineStr">
        <is>
          <t>实际利润</t>
        </is>
      </c>
      <c r="F8" s="7" t="inlineStr">
        <is>
          <t>实际利润率</t>
        </is>
      </c>
      <c r="G8" s="2" t="n"/>
      <c r="H8" s="2" t="n"/>
      <c r="I8" s="2" t="n"/>
      <c r="J8" s="2" t="n"/>
      <c r="K8" s="2" t="n"/>
      <c r="L8" s="2" t="n"/>
    </row>
    <row r="9">
      <c r="A9" s="7">
        <f>季度汇总!A4</f>
        <v/>
      </c>
      <c r="B9" s="8">
        <f>季度汇总!B4</f>
        <v/>
      </c>
      <c r="C9" s="8">
        <f>季度汇总!C4</f>
        <v/>
      </c>
      <c r="D9" s="8">
        <f>季度汇总!H4</f>
        <v/>
      </c>
      <c r="E9" s="8">
        <f>季度汇总!I4</f>
        <v/>
      </c>
      <c r="F9" s="9">
        <f>季度汇总!J4</f>
        <v/>
      </c>
      <c r="G9" s="2" t="n"/>
      <c r="H9" s="2" t="n"/>
      <c r="I9" s="2" t="n"/>
      <c r="J9" s="2" t="n"/>
      <c r="K9" s="2" t="n"/>
      <c r="L9" s="2" t="n"/>
    </row>
    <row r="10">
      <c r="A10" s="7">
        <f>季度汇总!A5</f>
        <v/>
      </c>
      <c r="B10" s="8">
        <f>季度汇总!B5</f>
        <v/>
      </c>
      <c r="C10" s="8">
        <f>季度汇总!C5</f>
        <v/>
      </c>
      <c r="D10" s="8">
        <f>季度汇总!H5</f>
        <v/>
      </c>
      <c r="E10" s="8">
        <f>季度汇总!I5</f>
        <v/>
      </c>
      <c r="F10" s="9">
        <f>季度汇总!J5</f>
        <v/>
      </c>
      <c r="G10" s="2" t="n"/>
      <c r="H10" s="2" t="n"/>
      <c r="I10" s="2" t="n"/>
      <c r="J10" s="2" t="n"/>
      <c r="K10" s="2" t="n"/>
      <c r="L10" s="2" t="n"/>
    </row>
    <row r="11">
      <c r="A11" s="7">
        <f>季度汇总!A6</f>
        <v/>
      </c>
      <c r="B11" s="8">
        <f>季度汇总!B6</f>
        <v/>
      </c>
      <c r="C11" s="8">
        <f>季度汇总!C6</f>
        <v/>
      </c>
      <c r="D11" s="8">
        <f>季度汇总!H6</f>
        <v/>
      </c>
      <c r="E11" s="8">
        <f>季度汇总!I6</f>
        <v/>
      </c>
      <c r="F11" s="9">
        <f>季度汇总!J6</f>
        <v/>
      </c>
      <c r="G11" s="2" t="n"/>
      <c r="H11" s="2" t="n"/>
      <c r="I11" s="2" t="n"/>
      <c r="J11" s="2" t="n"/>
      <c r="K11" s="2" t="n"/>
      <c r="L11" s="2" t="n"/>
    </row>
    <row r="12">
      <c r="A12" s="7">
        <f>季度汇总!A7</f>
        <v/>
      </c>
      <c r="B12" s="8">
        <f>季度汇总!B7</f>
        <v/>
      </c>
      <c r="C12" s="8">
        <f>季度汇总!C7</f>
        <v/>
      </c>
      <c r="D12" s="8">
        <f>季度汇总!H7</f>
        <v/>
      </c>
      <c r="E12" s="8">
        <f>季度汇总!I7</f>
        <v/>
      </c>
      <c r="F12" s="9">
        <f>季度汇总!J7</f>
        <v/>
      </c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6" t="inlineStr">
        <is>
          <t>全年成本费用结构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7" t="inlineStr">
        <is>
          <t>类别</t>
        </is>
      </c>
      <c r="B16" s="7" t="inlineStr">
        <is>
          <t>实际金额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7" t="inlineStr">
        <is>
          <t>食材成本</t>
        </is>
      </c>
      <c r="B17" s="8">
        <f>SUMIFS(预算明细!$E:$E,预算明细!$C:$C,"食材成本")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7" t="inlineStr">
        <is>
          <t>人工成本</t>
        </is>
      </c>
      <c r="B18" s="8">
        <f>SUMIFS(预算明细!$E:$E,预算明细!$C:$C,"人工成本")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7" t="inlineStr">
        <is>
          <t>租金物业</t>
        </is>
      </c>
      <c r="B19" s="8">
        <f>SUMIFS(预算明细!$E:$E,预算明细!$C:$C,"租金物业")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水电燃气</t>
        </is>
      </c>
      <c r="B20" s="8">
        <f>SUMIFS(预算明细!$E:$E,预算明细!$C:$C,"水电燃气")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7" t="inlineStr">
        <is>
          <t>市场推广</t>
        </is>
      </c>
      <c r="B21" s="8">
        <f>SUMIFS(预算明细!$E:$E,预算明细!$C:$C,"市场推广")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7" t="inlineStr">
        <is>
          <t>其他费用</t>
        </is>
      </c>
      <c r="B22" s="8">
        <f>SUMIFS(预算明细!$E:$E,预算明细!$C:$C,"维修杂项")+SUMIFS(预算明细!$E:$E,预算明细!$C:$C,"管理费用")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</sheetData>
  <mergeCells count="13">
    <mergeCell ref="A4:B4"/>
    <mergeCell ref="G4:H4"/>
    <mergeCell ref="E4:F4"/>
    <mergeCell ref="I4:J4"/>
    <mergeCell ref="I3:J3"/>
    <mergeCell ref="A1:L1"/>
    <mergeCell ref="K4:L4"/>
    <mergeCell ref="C3:D3"/>
    <mergeCell ref="A3:B3"/>
    <mergeCell ref="G3:H3"/>
    <mergeCell ref="E3:F3"/>
    <mergeCell ref="K3:L3"/>
    <mergeCell ref="C4:D4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4" customWidth="1" min="4" max="4"/>
    <col width="10" customWidth="1" min="5" max="5"/>
    <col width="18" customWidth="1" min="6" max="6"/>
  </cols>
  <sheetData>
    <row r="1">
      <c r="A1" s="10" t="inlineStr">
        <is>
          <t>餐厅季度预算假设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项目</t>
        </is>
      </c>
      <c r="B3" s="3" t="inlineStr">
        <is>
          <t>金额/比例</t>
        </is>
      </c>
      <c r="C3" s="3" t="inlineStr">
        <is>
          <t>单位</t>
        </is>
      </c>
      <c r="D3" s="3" t="inlineStr">
        <is>
          <t>说明</t>
        </is>
      </c>
      <c r="E3" s="3" t="inlineStr">
        <is>
          <t>可调整</t>
        </is>
      </c>
      <c r="F3" s="3" t="inlineStr">
        <is>
          <t>备注</t>
        </is>
      </c>
    </row>
    <row r="4">
      <c r="A4" s="7" t="inlineStr">
        <is>
          <t>营业天数/季度</t>
        </is>
      </c>
      <c r="B4" s="11" t="n">
        <v>91</v>
      </c>
      <c r="C4" s="7" t="inlineStr">
        <is>
          <t>天</t>
        </is>
      </c>
      <c r="D4" s="7" t="inlineStr">
        <is>
          <t>用于按日计算收入与客流</t>
        </is>
      </c>
      <c r="E4" s="7" t="inlineStr">
        <is>
          <t>是</t>
        </is>
      </c>
      <c r="F4" s="7" t="inlineStr">
        <is>
          <t>按自然季度估算</t>
        </is>
      </c>
    </row>
    <row r="5">
      <c r="A5" s="7" t="inlineStr">
        <is>
          <t>客单价</t>
        </is>
      </c>
      <c r="B5" s="11" t="n">
        <v>88</v>
      </c>
      <c r="C5" s="7" t="inlineStr">
        <is>
          <t>元/人</t>
        </is>
      </c>
      <c r="D5" s="7" t="inlineStr">
        <is>
          <t>堂食与外卖综合客单价</t>
        </is>
      </c>
      <c r="E5" s="7" t="inlineStr">
        <is>
          <t>是</t>
        </is>
      </c>
      <c r="F5" s="7" t="inlineStr"/>
    </row>
    <row r="6">
      <c r="A6" s="7" t="inlineStr">
        <is>
          <t>日均客流</t>
        </is>
      </c>
      <c r="B6" s="11" t="n">
        <v>320</v>
      </c>
      <c r="C6" s="7" t="inlineStr">
        <is>
          <t>人/天</t>
        </is>
      </c>
      <c r="D6" s="7" t="inlineStr">
        <is>
          <t>预算基准客流</t>
        </is>
      </c>
      <c r="E6" s="7" t="inlineStr">
        <is>
          <t>是</t>
        </is>
      </c>
      <c r="F6" s="7" t="inlineStr"/>
    </row>
    <row r="7">
      <c r="A7" s="7" t="inlineStr">
        <is>
          <t>外卖收入占比</t>
        </is>
      </c>
      <c r="B7" s="12" t="n">
        <v>0.24</v>
      </c>
      <c r="C7" s="7" t="inlineStr">
        <is>
          <t>%</t>
        </is>
      </c>
      <c r="D7" s="7" t="inlineStr">
        <is>
          <t>外卖平台订单占总收入比例</t>
        </is>
      </c>
      <c r="E7" s="7" t="inlineStr">
        <is>
          <t>是</t>
        </is>
      </c>
      <c r="F7" s="7" t="inlineStr"/>
    </row>
    <row r="8">
      <c r="A8" s="7" t="inlineStr">
        <is>
          <t>食材成本率</t>
        </is>
      </c>
      <c r="B8" s="12" t="n">
        <v>0.32</v>
      </c>
      <c r="C8" s="7" t="inlineStr">
        <is>
          <t>%</t>
        </is>
      </c>
      <c r="D8" s="7" t="inlineStr">
        <is>
          <t>食材采购占收入比例</t>
        </is>
      </c>
      <c r="E8" s="7" t="inlineStr">
        <is>
          <t>是</t>
        </is>
      </c>
      <c r="F8" s="7" t="inlineStr"/>
    </row>
    <row r="9">
      <c r="A9" s="7" t="inlineStr">
        <is>
          <t>人工成本率</t>
        </is>
      </c>
      <c r="B9" s="12" t="n">
        <v>0.22</v>
      </c>
      <c r="C9" s="7" t="inlineStr">
        <is>
          <t>%</t>
        </is>
      </c>
      <c r="D9" s="7" t="inlineStr">
        <is>
          <t>薪资、社保与临时工</t>
        </is>
      </c>
      <c r="E9" s="7" t="inlineStr">
        <is>
          <t>是</t>
        </is>
      </c>
      <c r="F9" s="7" t="inlineStr"/>
    </row>
    <row r="10">
      <c r="A10" s="7" t="inlineStr">
        <is>
          <t>租金/季度</t>
        </is>
      </c>
      <c r="B10" s="11" t="n">
        <v>180000</v>
      </c>
      <c r="C10" s="7" t="inlineStr">
        <is>
          <t>元</t>
        </is>
      </c>
      <c r="D10" s="7" t="inlineStr">
        <is>
          <t>固定租金与物业费</t>
        </is>
      </c>
      <c r="E10" s="7" t="inlineStr">
        <is>
          <t>是</t>
        </is>
      </c>
      <c r="F10" s="7" t="inlineStr"/>
    </row>
    <row r="11">
      <c r="A11" s="7" t="inlineStr">
        <is>
          <t>水电燃气/季度</t>
        </is>
      </c>
      <c r="B11" s="11" t="n">
        <v>76000</v>
      </c>
      <c r="C11" s="7" t="inlineStr">
        <is>
          <t>元</t>
        </is>
      </c>
      <c r="D11" s="7" t="inlineStr">
        <is>
          <t>能源成本预算</t>
        </is>
      </c>
      <c r="E11" s="7" t="inlineStr">
        <is>
          <t>是</t>
        </is>
      </c>
      <c r="F11" s="7" t="inlineStr"/>
    </row>
    <row r="12">
      <c r="A12" s="7" t="inlineStr">
        <is>
          <t>市场推广/季度</t>
        </is>
      </c>
      <c r="B12" s="11" t="n">
        <v>56000</v>
      </c>
      <c r="C12" s="7" t="inlineStr">
        <is>
          <t>元</t>
        </is>
      </c>
      <c r="D12" s="7" t="inlineStr">
        <is>
          <t>线上投放、会员活动</t>
        </is>
      </c>
      <c r="E12" s="7" t="inlineStr">
        <is>
          <t>是</t>
        </is>
      </c>
      <c r="F12" s="7" t="inlineStr"/>
    </row>
    <row r="13">
      <c r="A13" s="7" t="inlineStr">
        <is>
          <t>维修与杂项/季度</t>
        </is>
      </c>
      <c r="B13" s="11" t="n">
        <v>32000</v>
      </c>
      <c r="C13" s="7" t="inlineStr">
        <is>
          <t>元</t>
        </is>
      </c>
      <c r="D13" s="7" t="inlineStr">
        <is>
          <t>设备维护与低值易耗</t>
        </is>
      </c>
      <c r="E13" s="7" t="inlineStr">
        <is>
          <t>是</t>
        </is>
      </c>
      <c r="F13" s="7" t="inlineStr"/>
    </row>
    <row r="14">
      <c r="A14" s="7" t="inlineStr">
        <is>
          <t>管理费用/季度</t>
        </is>
      </c>
      <c r="B14" s="11" t="n">
        <v>45000</v>
      </c>
      <c r="C14" s="7" t="inlineStr">
        <is>
          <t>元</t>
        </is>
      </c>
      <c r="D14" s="7" t="inlineStr">
        <is>
          <t>办公、财务、行政支持</t>
        </is>
      </c>
      <c r="E14" s="7" t="inlineStr">
        <is>
          <t>是</t>
        </is>
      </c>
      <c r="F14" s="7" t="inlineStr"/>
    </row>
    <row r="15">
      <c r="A15" s="7" t="inlineStr">
        <is>
          <t>目标利润率</t>
        </is>
      </c>
      <c r="B15" s="12" t="n">
        <v>0.15</v>
      </c>
      <c r="C15" s="7" t="inlineStr">
        <is>
          <t>%</t>
        </is>
      </c>
      <c r="D15" s="7" t="inlineStr">
        <is>
          <t>用于预算达标判断</t>
        </is>
      </c>
      <c r="E15" s="7" t="inlineStr">
        <is>
          <t>是</t>
        </is>
      </c>
      <c r="F15" s="7" t="inlineStr"/>
    </row>
  </sheetData>
  <mergeCells count="1">
    <mergeCell ref="A1:F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22" customWidth="1" min="8" max="8"/>
  </cols>
  <sheetData>
    <row r="1">
      <c r="A1" s="10" t="inlineStr">
        <is>
          <t>预算明细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季度</t>
        </is>
      </c>
      <c r="B3" s="3" t="inlineStr">
        <is>
          <t>类别</t>
        </is>
      </c>
      <c r="C3" s="3" t="inlineStr">
        <is>
          <t>项目</t>
        </is>
      </c>
      <c r="D3" s="3" t="inlineStr">
        <is>
          <t>预算金额</t>
        </is>
      </c>
      <c r="E3" s="3" t="inlineStr">
        <is>
          <t>实际金额</t>
        </is>
      </c>
      <c r="F3" s="3" t="inlineStr">
        <is>
          <t>差异</t>
        </is>
      </c>
      <c r="G3" s="3" t="inlineStr">
        <is>
          <t>差异率</t>
        </is>
      </c>
      <c r="H3" s="3" t="inlineStr">
        <is>
          <t>备注</t>
        </is>
      </c>
    </row>
    <row r="4">
      <c r="A4" s="7" t="inlineStr">
        <is>
          <t>Q1</t>
        </is>
      </c>
      <c r="B4" s="7" t="inlineStr">
        <is>
          <t>收入</t>
        </is>
      </c>
      <c r="C4" s="7" t="inlineStr">
        <is>
          <t>堂食收入</t>
        </is>
      </c>
      <c r="D4" s="13">
        <f>预算假设!$B$4*预算假设!$B$5*预算假设!$B$6*(1-预算假设!$B$7)</f>
        <v/>
      </c>
      <c r="E4" s="13" t="n">
        <v>1830000</v>
      </c>
      <c r="F4" s="13">
        <f>E4-D4</f>
        <v/>
      </c>
      <c r="G4" s="14">
        <f>IF(D4=0,"",F4/D4)</f>
        <v/>
      </c>
      <c r="H4" s="7" t="inlineStr"/>
    </row>
    <row r="5">
      <c r="A5" s="7" t="inlineStr">
        <is>
          <t>Q1</t>
        </is>
      </c>
      <c r="B5" s="7" t="inlineStr">
        <is>
          <t>收入</t>
        </is>
      </c>
      <c r="C5" s="7" t="inlineStr">
        <is>
          <t>外卖收入</t>
        </is>
      </c>
      <c r="D5" s="13">
        <f>预算假设!$B$4*预算假设!$B$5*预算假设!$B$6*预算假设!$B$7</f>
        <v/>
      </c>
      <c r="E5" s="13" t="n">
        <v>590000</v>
      </c>
      <c r="F5" s="13">
        <f>E5-D5</f>
        <v/>
      </c>
      <c r="G5" s="14">
        <f>IF(D5=0,"",F5/D5)</f>
        <v/>
      </c>
      <c r="H5" s="7" t="inlineStr"/>
    </row>
    <row r="6">
      <c r="A6" s="7" t="inlineStr">
        <is>
          <t>Q1</t>
        </is>
      </c>
      <c r="B6" s="7" t="inlineStr">
        <is>
          <t>成本</t>
        </is>
      </c>
      <c r="C6" s="7" t="inlineStr">
        <is>
          <t>食材成本</t>
        </is>
      </c>
      <c r="D6" s="13">
        <f>SUMIFS($D:$D,$A:$A,A4,$B:$B,"收入")*预算假设!$B$8</f>
        <v/>
      </c>
      <c r="E6" s="13" t="n">
        <v>800000</v>
      </c>
      <c r="F6" s="13">
        <f>E6-D6</f>
        <v/>
      </c>
      <c r="G6" s="14">
        <f>IF(D6=0,"",F6/D6)</f>
        <v/>
      </c>
      <c r="H6" s="7" t="inlineStr"/>
    </row>
    <row r="7">
      <c r="A7" s="7" t="inlineStr">
        <is>
          <t>Q1</t>
        </is>
      </c>
      <c r="B7" s="7" t="inlineStr">
        <is>
          <t>成本</t>
        </is>
      </c>
      <c r="C7" s="7" t="inlineStr">
        <is>
          <t>人工成本</t>
        </is>
      </c>
      <c r="D7" s="13">
        <f>SUMIFS($D:$D,$A:$A,A4,$B:$B,"收入")*预算假设!$B$9</f>
        <v/>
      </c>
      <c r="E7" s="13" t="n">
        <v>545000</v>
      </c>
      <c r="F7" s="13">
        <f>E7-D7</f>
        <v/>
      </c>
      <c r="G7" s="14">
        <f>IF(D7=0,"",F7/D7)</f>
        <v/>
      </c>
      <c r="H7" s="7" t="inlineStr"/>
    </row>
    <row r="8">
      <c r="A8" s="7" t="inlineStr">
        <is>
          <t>Q1</t>
        </is>
      </c>
      <c r="B8" s="7" t="inlineStr">
        <is>
          <t>成本</t>
        </is>
      </c>
      <c r="C8" s="7" t="inlineStr">
        <is>
          <t>租金物业</t>
        </is>
      </c>
      <c r="D8" s="13">
        <f>预算假设!$B$10</f>
        <v/>
      </c>
      <c r="E8" s="13" t="n">
        <v>180000</v>
      </c>
      <c r="F8" s="13">
        <f>E8-D8</f>
        <v/>
      </c>
      <c r="G8" s="14">
        <f>IF(D8=0,"",F8/D8)</f>
        <v/>
      </c>
      <c r="H8" s="7" t="inlineStr"/>
    </row>
    <row r="9">
      <c r="A9" s="7" t="inlineStr">
        <is>
          <t>Q1</t>
        </is>
      </c>
      <c r="B9" s="7" t="inlineStr">
        <is>
          <t>成本</t>
        </is>
      </c>
      <c r="C9" s="7" t="inlineStr">
        <is>
          <t>水电燃气</t>
        </is>
      </c>
      <c r="D9" s="13">
        <f>预算假设!$B$11</f>
        <v/>
      </c>
      <c r="E9" s="13" t="n">
        <v>83000</v>
      </c>
      <c r="F9" s="13">
        <f>E9-D9</f>
        <v/>
      </c>
      <c r="G9" s="14">
        <f>IF(D9=0,"",F9/D9)</f>
        <v/>
      </c>
      <c r="H9" s="7" t="inlineStr"/>
    </row>
    <row r="10">
      <c r="A10" s="7" t="inlineStr">
        <is>
          <t>Q1</t>
        </is>
      </c>
      <c r="B10" s="7" t="inlineStr">
        <is>
          <t>费用</t>
        </is>
      </c>
      <c r="C10" s="7" t="inlineStr">
        <is>
          <t>市场推广</t>
        </is>
      </c>
      <c r="D10" s="13">
        <f>预算假设!$B$12</f>
        <v/>
      </c>
      <c r="E10" s="13" t="n">
        <v>65000</v>
      </c>
      <c r="F10" s="13">
        <f>E10-D10</f>
        <v/>
      </c>
      <c r="G10" s="14">
        <f>IF(D10=0,"",F10/D10)</f>
        <v/>
      </c>
      <c r="H10" s="7" t="inlineStr"/>
    </row>
    <row r="11">
      <c r="A11" s="7" t="inlineStr">
        <is>
          <t>Q1</t>
        </is>
      </c>
      <c r="B11" s="7" t="inlineStr">
        <is>
          <t>费用</t>
        </is>
      </c>
      <c r="C11" s="7" t="inlineStr">
        <is>
          <t>维修杂项</t>
        </is>
      </c>
      <c r="D11" s="13">
        <f>预算假设!$B$13</f>
        <v/>
      </c>
      <c r="E11" s="13" t="n">
        <v>36000</v>
      </c>
      <c r="F11" s="13">
        <f>E11-D11</f>
        <v/>
      </c>
      <c r="G11" s="14">
        <f>IF(D11=0,"",F11/D11)</f>
        <v/>
      </c>
      <c r="H11" s="7" t="inlineStr"/>
    </row>
    <row r="12">
      <c r="A12" s="7" t="inlineStr">
        <is>
          <t>Q1</t>
        </is>
      </c>
      <c r="B12" s="7" t="inlineStr">
        <is>
          <t>费用</t>
        </is>
      </c>
      <c r="C12" s="7" t="inlineStr">
        <is>
          <t>管理费用</t>
        </is>
      </c>
      <c r="D12" s="13">
        <f>预算假设!$B$14</f>
        <v/>
      </c>
      <c r="E12" s="13" t="n">
        <v>45000</v>
      </c>
      <c r="F12" s="13">
        <f>E12-D12</f>
        <v/>
      </c>
      <c r="G12" s="14">
        <f>IF(D12=0,"",F12/D12)</f>
        <v/>
      </c>
      <c r="H12" s="7" t="inlineStr"/>
    </row>
    <row r="13">
      <c r="A13" s="7" t="inlineStr">
        <is>
          <t>Q2</t>
        </is>
      </c>
      <c r="B13" s="7" t="inlineStr">
        <is>
          <t>收入</t>
        </is>
      </c>
      <c r="C13" s="7" t="inlineStr">
        <is>
          <t>堂食收入</t>
        </is>
      </c>
      <c r="D13" s="13">
        <f>D4*1.08</f>
        <v/>
      </c>
      <c r="E13" s="13" t="n">
        <v>1897344</v>
      </c>
      <c r="F13" s="13">
        <f>E13-D13</f>
        <v/>
      </c>
      <c r="G13" s="14">
        <f>IF(D13=0,"",F13/D13)</f>
        <v/>
      </c>
      <c r="H13" s="7" t="inlineStr"/>
    </row>
    <row r="14">
      <c r="A14" s="7" t="inlineStr">
        <is>
          <t>Q2</t>
        </is>
      </c>
      <c r="B14" s="7" t="inlineStr">
        <is>
          <t>收入</t>
        </is>
      </c>
      <c r="C14" s="7" t="inlineStr">
        <is>
          <t>外卖收入</t>
        </is>
      </c>
      <c r="D14" s="13">
        <f>D5*1.08</f>
        <v/>
      </c>
      <c r="E14" s="13" t="n">
        <v>611712</v>
      </c>
      <c r="F14" s="13">
        <f>E14-D14</f>
        <v/>
      </c>
      <c r="G14" s="14">
        <f>IF(D14=0,"",F14/D14)</f>
        <v/>
      </c>
      <c r="H14" s="7" t="inlineStr"/>
    </row>
    <row r="15">
      <c r="A15" s="7" t="inlineStr">
        <is>
          <t>Q2</t>
        </is>
      </c>
      <c r="B15" s="7" t="inlineStr">
        <is>
          <t>成本</t>
        </is>
      </c>
      <c r="C15" s="7" t="inlineStr">
        <is>
          <t>食材成本</t>
        </is>
      </c>
      <c r="D15" s="13">
        <f>D6*1.05</f>
        <v/>
      </c>
      <c r="E15" s="13" t="n">
        <v>806400</v>
      </c>
      <c r="F15" s="13">
        <f>E15-D15</f>
        <v/>
      </c>
      <c r="G15" s="14">
        <f>IF(D15=0,"",F15/D15)</f>
        <v/>
      </c>
      <c r="H15" s="7" t="inlineStr"/>
    </row>
    <row r="16">
      <c r="A16" s="7" t="inlineStr">
        <is>
          <t>Q2</t>
        </is>
      </c>
      <c r="B16" s="7" t="inlineStr">
        <is>
          <t>成本</t>
        </is>
      </c>
      <c r="C16" s="7" t="inlineStr">
        <is>
          <t>人工成本</t>
        </is>
      </c>
      <c r="D16" s="13">
        <f>D7*1.05</f>
        <v/>
      </c>
      <c r="E16" s="13" t="n">
        <v>549360</v>
      </c>
      <c r="F16" s="13">
        <f>E16-D16</f>
        <v/>
      </c>
      <c r="G16" s="14">
        <f>IF(D16=0,"",F16/D16)</f>
        <v/>
      </c>
      <c r="H16" s="7" t="inlineStr"/>
    </row>
    <row r="17">
      <c r="A17" s="7" t="inlineStr">
        <is>
          <t>Q2</t>
        </is>
      </c>
      <c r="B17" s="7" t="inlineStr">
        <is>
          <t>成本</t>
        </is>
      </c>
      <c r="C17" s="7" t="inlineStr">
        <is>
          <t>租金物业</t>
        </is>
      </c>
      <c r="D17" s="13">
        <f>D8*1.05</f>
        <v/>
      </c>
      <c r="E17" s="13" t="n">
        <v>181440</v>
      </c>
      <c r="F17" s="13">
        <f>E17-D17</f>
        <v/>
      </c>
      <c r="G17" s="14">
        <f>IF(D17=0,"",F17/D17)</f>
        <v/>
      </c>
      <c r="H17" s="7" t="inlineStr"/>
    </row>
    <row r="18">
      <c r="A18" s="7" t="inlineStr">
        <is>
          <t>Q2</t>
        </is>
      </c>
      <c r="B18" s="7" t="inlineStr">
        <is>
          <t>成本</t>
        </is>
      </c>
      <c r="C18" s="7" t="inlineStr">
        <is>
          <t>水电燃气</t>
        </is>
      </c>
      <c r="D18" s="13">
        <f>D9*1.05</f>
        <v/>
      </c>
      <c r="E18" s="13" t="n">
        <v>83664</v>
      </c>
      <c r="F18" s="13">
        <f>E18-D18</f>
        <v/>
      </c>
      <c r="G18" s="14">
        <f>IF(D18=0,"",F18/D18)</f>
        <v/>
      </c>
      <c r="H18" s="7" t="inlineStr"/>
    </row>
    <row r="19">
      <c r="A19" s="7" t="inlineStr">
        <is>
          <t>Q2</t>
        </is>
      </c>
      <c r="B19" s="7" t="inlineStr">
        <is>
          <t>费用</t>
        </is>
      </c>
      <c r="C19" s="7" t="inlineStr">
        <is>
          <t>市场推广</t>
        </is>
      </c>
      <c r="D19" s="13">
        <f>D10*0.98</f>
        <v/>
      </c>
      <c r="E19" s="13" t="n">
        <v>61152</v>
      </c>
      <c r="F19" s="13">
        <f>E19-D19</f>
        <v/>
      </c>
      <c r="G19" s="14">
        <f>IF(D19=0,"",F19/D19)</f>
        <v/>
      </c>
      <c r="H19" s="7" t="inlineStr"/>
    </row>
    <row r="20">
      <c r="A20" s="7" t="inlineStr">
        <is>
          <t>Q2</t>
        </is>
      </c>
      <c r="B20" s="7" t="inlineStr">
        <is>
          <t>费用</t>
        </is>
      </c>
      <c r="C20" s="7" t="inlineStr">
        <is>
          <t>维修杂项</t>
        </is>
      </c>
      <c r="D20" s="13">
        <f>D11*0.98</f>
        <v/>
      </c>
      <c r="E20" s="13" t="n">
        <v>33869</v>
      </c>
      <c r="F20" s="13">
        <f>E20-D20</f>
        <v/>
      </c>
      <c r="G20" s="14">
        <f>IF(D20=0,"",F20/D20)</f>
        <v/>
      </c>
      <c r="H20" s="7" t="inlineStr"/>
    </row>
    <row r="21">
      <c r="A21" s="7" t="inlineStr">
        <is>
          <t>Q2</t>
        </is>
      </c>
      <c r="B21" s="7" t="inlineStr">
        <is>
          <t>费用</t>
        </is>
      </c>
      <c r="C21" s="7" t="inlineStr">
        <is>
          <t>管理费用</t>
        </is>
      </c>
      <c r="D21" s="13">
        <f>D12*0.98</f>
        <v/>
      </c>
      <c r="E21" s="13" t="n">
        <v>42336</v>
      </c>
      <c r="F21" s="13">
        <f>E21-D21</f>
        <v/>
      </c>
      <c r="G21" s="14">
        <f>IF(D21=0,"",F21/D21)</f>
        <v/>
      </c>
      <c r="H21" s="7" t="inlineStr"/>
    </row>
    <row r="22">
      <c r="A22" s="7" t="inlineStr">
        <is>
          <t>Q3</t>
        </is>
      </c>
      <c r="B22" s="7" t="inlineStr">
        <is>
          <t>收入</t>
        </is>
      </c>
      <c r="C22" s="7" t="inlineStr">
        <is>
          <t>堂食收入</t>
        </is>
      </c>
      <c r="D22" s="13">
        <f>D4*1.15</f>
        <v/>
      </c>
      <c r="E22" s="13" t="n">
        <v>2146590</v>
      </c>
      <c r="F22" s="13">
        <f>E22-D22</f>
        <v/>
      </c>
      <c r="G22" s="14">
        <f>IF(D22=0,"",F22/D22)</f>
        <v/>
      </c>
      <c r="H22" s="7" t="inlineStr"/>
    </row>
    <row r="23">
      <c r="A23" s="7" t="inlineStr">
        <is>
          <t>Q3</t>
        </is>
      </c>
      <c r="B23" s="7" t="inlineStr">
        <is>
          <t>收入</t>
        </is>
      </c>
      <c r="C23" s="7" t="inlineStr">
        <is>
          <t>外卖收入</t>
        </is>
      </c>
      <c r="D23" s="13">
        <f>D5*1.15</f>
        <v/>
      </c>
      <c r="E23" s="13" t="n">
        <v>692070</v>
      </c>
      <c r="F23" s="13">
        <f>E23-D23</f>
        <v/>
      </c>
      <c r="G23" s="14">
        <f>IF(D23=0,"",F23/D23)</f>
        <v/>
      </c>
      <c r="H23" s="7" t="inlineStr"/>
    </row>
    <row r="24">
      <c r="A24" s="7" t="inlineStr">
        <is>
          <t>Q3</t>
        </is>
      </c>
      <c r="B24" s="7" t="inlineStr">
        <is>
          <t>成本</t>
        </is>
      </c>
      <c r="C24" s="7" t="inlineStr">
        <is>
          <t>食材成本</t>
        </is>
      </c>
      <c r="D24" s="13">
        <f>D6*1.1</f>
        <v/>
      </c>
      <c r="E24" s="13" t="n">
        <v>897600</v>
      </c>
      <c r="F24" s="13">
        <f>E24-D24</f>
        <v/>
      </c>
      <c r="G24" s="14">
        <f>IF(D24=0,"",F24/D24)</f>
        <v/>
      </c>
      <c r="H24" s="7" t="inlineStr"/>
    </row>
    <row r="25">
      <c r="A25" s="7" t="inlineStr">
        <is>
          <t>Q3</t>
        </is>
      </c>
      <c r="B25" s="7" t="inlineStr">
        <is>
          <t>成本</t>
        </is>
      </c>
      <c r="C25" s="7" t="inlineStr">
        <is>
          <t>人工成本</t>
        </is>
      </c>
      <c r="D25" s="13">
        <f>D7*1.1</f>
        <v/>
      </c>
      <c r="E25" s="13" t="n">
        <v>611490</v>
      </c>
      <c r="F25" s="13">
        <f>E25-D25</f>
        <v/>
      </c>
      <c r="G25" s="14">
        <f>IF(D25=0,"",F25/D25)</f>
        <v/>
      </c>
      <c r="H25" s="7" t="inlineStr"/>
    </row>
    <row r="26">
      <c r="A26" s="7" t="inlineStr">
        <is>
          <t>Q3</t>
        </is>
      </c>
      <c r="B26" s="7" t="inlineStr">
        <is>
          <t>成本</t>
        </is>
      </c>
      <c r="C26" s="7" t="inlineStr">
        <is>
          <t>租金物业</t>
        </is>
      </c>
      <c r="D26" s="13">
        <f>D8*1.1</f>
        <v/>
      </c>
      <c r="E26" s="13" t="n">
        <v>201960</v>
      </c>
      <c r="F26" s="13">
        <f>E26-D26</f>
        <v/>
      </c>
      <c r="G26" s="14">
        <f>IF(D26=0,"",F26/D26)</f>
        <v/>
      </c>
      <c r="H26" s="7" t="inlineStr"/>
    </row>
    <row r="27">
      <c r="A27" s="7" t="inlineStr">
        <is>
          <t>Q3</t>
        </is>
      </c>
      <c r="B27" s="7" t="inlineStr">
        <is>
          <t>成本</t>
        </is>
      </c>
      <c r="C27" s="7" t="inlineStr">
        <is>
          <t>水电燃气</t>
        </is>
      </c>
      <c r="D27" s="13">
        <f>D9*1.1</f>
        <v/>
      </c>
      <c r="E27" s="13" t="n">
        <v>93126</v>
      </c>
      <c r="F27" s="13">
        <f>E27-D27</f>
        <v/>
      </c>
      <c r="G27" s="14">
        <f>IF(D27=0,"",F27/D27)</f>
        <v/>
      </c>
      <c r="H27" s="7" t="inlineStr"/>
    </row>
    <row r="28">
      <c r="A28" s="7" t="inlineStr">
        <is>
          <t>Q3</t>
        </is>
      </c>
      <c r="B28" s="7" t="inlineStr">
        <is>
          <t>费用</t>
        </is>
      </c>
      <c r="C28" s="7" t="inlineStr">
        <is>
          <t>市场推广</t>
        </is>
      </c>
      <c r="D28" s="13">
        <f>D10*1.08</f>
        <v/>
      </c>
      <c r="E28" s="13" t="n">
        <v>71604</v>
      </c>
      <c r="F28" s="13">
        <f>E28-D28</f>
        <v/>
      </c>
      <c r="G28" s="14">
        <f>IF(D28=0,"",F28/D28)</f>
        <v/>
      </c>
      <c r="H28" s="7" t="inlineStr"/>
    </row>
    <row r="29">
      <c r="A29" s="7" t="inlineStr">
        <is>
          <t>Q3</t>
        </is>
      </c>
      <c r="B29" s="7" t="inlineStr">
        <is>
          <t>费用</t>
        </is>
      </c>
      <c r="C29" s="7" t="inlineStr">
        <is>
          <t>维修杂项</t>
        </is>
      </c>
      <c r="D29" s="13">
        <f>D11*1.08</f>
        <v/>
      </c>
      <c r="E29" s="13" t="n">
        <v>39658</v>
      </c>
      <c r="F29" s="13">
        <f>E29-D29</f>
        <v/>
      </c>
      <c r="G29" s="14">
        <f>IF(D29=0,"",F29/D29)</f>
        <v/>
      </c>
      <c r="H29" s="7" t="inlineStr"/>
    </row>
    <row r="30">
      <c r="A30" s="7" t="inlineStr">
        <is>
          <t>Q3</t>
        </is>
      </c>
      <c r="B30" s="7" t="inlineStr">
        <is>
          <t>费用</t>
        </is>
      </c>
      <c r="C30" s="7" t="inlineStr">
        <is>
          <t>管理费用</t>
        </is>
      </c>
      <c r="D30" s="13">
        <f>D12*1.08</f>
        <v/>
      </c>
      <c r="E30" s="13" t="n">
        <v>49572</v>
      </c>
      <c r="F30" s="13">
        <f>E30-D30</f>
        <v/>
      </c>
      <c r="G30" s="14">
        <f>IF(D30=0,"",F30/D30)</f>
        <v/>
      </c>
      <c r="H30" s="7" t="inlineStr"/>
    </row>
    <row r="31">
      <c r="A31" s="7" t="inlineStr">
        <is>
          <t>Q4</t>
        </is>
      </c>
      <c r="B31" s="7" t="inlineStr">
        <is>
          <t>收入</t>
        </is>
      </c>
      <c r="C31" s="7" t="inlineStr">
        <is>
          <t>堂食收入</t>
        </is>
      </c>
      <c r="D31" s="13">
        <f>D4*1.22</f>
        <v/>
      </c>
      <c r="E31" s="13" t="n">
        <v>2321904</v>
      </c>
      <c r="F31" s="13">
        <f>E31-D31</f>
        <v/>
      </c>
      <c r="G31" s="14">
        <f>IF(D31=0,"",F31/D31)</f>
        <v/>
      </c>
      <c r="H31" s="7" t="inlineStr"/>
    </row>
    <row r="32">
      <c r="A32" s="7" t="inlineStr">
        <is>
          <t>Q4</t>
        </is>
      </c>
      <c r="B32" s="7" t="inlineStr">
        <is>
          <t>收入</t>
        </is>
      </c>
      <c r="C32" s="7" t="inlineStr">
        <is>
          <t>外卖收入</t>
        </is>
      </c>
      <c r="D32" s="13">
        <f>D5*1.22</f>
        <v/>
      </c>
      <c r="E32" s="13" t="n">
        <v>748592</v>
      </c>
      <c r="F32" s="13">
        <f>E32-D32</f>
        <v/>
      </c>
      <c r="G32" s="14">
        <f>IF(D32=0,"",F32/D32)</f>
        <v/>
      </c>
      <c r="H32" s="7" t="inlineStr"/>
    </row>
    <row r="33">
      <c r="A33" s="7" t="inlineStr">
        <is>
          <t>Q4</t>
        </is>
      </c>
      <c r="B33" s="7" t="inlineStr">
        <is>
          <t>成本</t>
        </is>
      </c>
      <c r="C33" s="7" t="inlineStr">
        <is>
          <t>食材成本</t>
        </is>
      </c>
      <c r="D33" s="13">
        <f>D6*1.18</f>
        <v/>
      </c>
      <c r="E33" s="13" t="n">
        <v>981760</v>
      </c>
      <c r="F33" s="13">
        <f>E33-D33</f>
        <v/>
      </c>
      <c r="G33" s="14">
        <f>IF(D33=0,"",F33/D33)</f>
        <v/>
      </c>
      <c r="H33" s="7" t="inlineStr"/>
    </row>
    <row r="34">
      <c r="A34" s="7" t="inlineStr">
        <is>
          <t>Q4</t>
        </is>
      </c>
      <c r="B34" s="7" t="inlineStr">
        <is>
          <t>成本</t>
        </is>
      </c>
      <c r="C34" s="7" t="inlineStr">
        <is>
          <t>人工成本</t>
        </is>
      </c>
      <c r="D34" s="13">
        <f>D7*1.18</f>
        <v/>
      </c>
      <c r="E34" s="13" t="n">
        <v>668824</v>
      </c>
      <c r="F34" s="13">
        <f>E34-D34</f>
        <v/>
      </c>
      <c r="G34" s="14">
        <f>IF(D34=0,"",F34/D34)</f>
        <v/>
      </c>
      <c r="H34" s="7" t="inlineStr"/>
    </row>
    <row r="35">
      <c r="A35" s="7" t="inlineStr">
        <is>
          <t>Q4</t>
        </is>
      </c>
      <c r="B35" s="7" t="inlineStr">
        <is>
          <t>成本</t>
        </is>
      </c>
      <c r="C35" s="7" t="inlineStr">
        <is>
          <t>租金物业</t>
        </is>
      </c>
      <c r="D35" s="13">
        <f>D8*1.18</f>
        <v/>
      </c>
      <c r="E35" s="13" t="n">
        <v>220896</v>
      </c>
      <c r="F35" s="13">
        <f>E35-D35</f>
        <v/>
      </c>
      <c r="G35" s="14">
        <f>IF(D35=0,"",F35/D35)</f>
        <v/>
      </c>
      <c r="H35" s="7" t="inlineStr"/>
    </row>
    <row r="36">
      <c r="A36" s="7" t="inlineStr">
        <is>
          <t>Q4</t>
        </is>
      </c>
      <c r="B36" s="7" t="inlineStr">
        <is>
          <t>成本</t>
        </is>
      </c>
      <c r="C36" s="7" t="inlineStr">
        <is>
          <t>水电燃气</t>
        </is>
      </c>
      <c r="D36" s="13">
        <f>D9*1.18</f>
        <v/>
      </c>
      <c r="E36" s="13" t="n">
        <v>101858</v>
      </c>
      <c r="F36" s="13">
        <f>E36-D36</f>
        <v/>
      </c>
      <c r="G36" s="14">
        <f>IF(D36=0,"",F36/D36)</f>
        <v/>
      </c>
      <c r="H36" s="7" t="inlineStr"/>
    </row>
    <row r="37">
      <c r="A37" s="7" t="inlineStr">
        <is>
          <t>Q4</t>
        </is>
      </c>
      <c r="B37" s="7" t="inlineStr">
        <is>
          <t>费用</t>
        </is>
      </c>
      <c r="C37" s="7" t="inlineStr">
        <is>
          <t>市场推广</t>
        </is>
      </c>
      <c r="D37" s="13">
        <f>D10*1.12</f>
        <v/>
      </c>
      <c r="E37" s="13" t="n">
        <v>75712</v>
      </c>
      <c r="F37" s="13">
        <f>E37-D37</f>
        <v/>
      </c>
      <c r="G37" s="14">
        <f>IF(D37=0,"",F37/D37)</f>
        <v/>
      </c>
      <c r="H37" s="7" t="inlineStr"/>
    </row>
    <row r="38">
      <c r="A38" s="7" t="inlineStr">
        <is>
          <t>Q4</t>
        </is>
      </c>
      <c r="B38" s="7" t="inlineStr">
        <is>
          <t>费用</t>
        </is>
      </c>
      <c r="C38" s="7" t="inlineStr">
        <is>
          <t>维修杂项</t>
        </is>
      </c>
      <c r="D38" s="13">
        <f>D11*1.12</f>
        <v/>
      </c>
      <c r="E38" s="13" t="n">
        <v>41933</v>
      </c>
      <c r="F38" s="13">
        <f>E38-D38</f>
        <v/>
      </c>
      <c r="G38" s="14">
        <f>IF(D38=0,"",F38/D38)</f>
        <v/>
      </c>
      <c r="H38" s="7" t="inlineStr"/>
    </row>
    <row r="39">
      <c r="A39" s="7" t="inlineStr">
        <is>
          <t>Q4</t>
        </is>
      </c>
      <c r="B39" s="7" t="inlineStr">
        <is>
          <t>费用</t>
        </is>
      </c>
      <c r="C39" s="7" t="inlineStr">
        <is>
          <t>管理费用</t>
        </is>
      </c>
      <c r="D39" s="13">
        <f>D12*1.12</f>
        <v/>
      </c>
      <c r="E39" s="13" t="n">
        <v>52416</v>
      </c>
      <c r="F39" s="13">
        <f>E39-D39</f>
        <v/>
      </c>
      <c r="G39" s="14">
        <f>IF(D39=0,"",F39/D39)</f>
        <v/>
      </c>
      <c r="H39" s="7" t="inlineStr"/>
    </row>
  </sheetData>
  <mergeCells count="1">
    <mergeCell ref="A1:H1"/>
  </mergeCells>
  <dataValidations count="2">
    <dataValidation sqref="A4:A39" showDropDown="0" showInputMessage="0" showErrorMessage="0" allowBlank="0" type="list">
      <formula1>"Q1,Q2,Q3,Q4"</formula1>
    </dataValidation>
    <dataValidation sqref="B4:B39" showDropDown="0" showInputMessage="0" showErrorMessage="0" allowBlank="0" type="list">
      <formula1>"收入,成本,费用"</formula1>
    </dataValidation>
  </dataValidation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季度汇总与利润测算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季度</t>
        </is>
      </c>
      <c r="B3" s="3" t="inlineStr">
        <is>
          <t>预算收入</t>
        </is>
      </c>
      <c r="C3" s="3" t="inlineStr">
        <is>
          <t>实际收入</t>
        </is>
      </c>
      <c r="D3" s="3" t="inlineStr">
        <is>
          <t>预算成本</t>
        </is>
      </c>
      <c r="E3" s="3" t="inlineStr">
        <is>
          <t>实际成本</t>
        </is>
      </c>
      <c r="F3" s="3" t="inlineStr">
        <is>
          <t>预算费用</t>
        </is>
      </c>
      <c r="G3" s="3" t="inlineStr">
        <is>
          <t>实际费用</t>
        </is>
      </c>
      <c r="H3" s="3" t="inlineStr">
        <is>
          <t>预算利润</t>
        </is>
      </c>
      <c r="I3" s="3" t="inlineStr">
        <is>
          <t>实际利润</t>
        </is>
      </c>
      <c r="J3" s="3" t="inlineStr">
        <is>
          <t>实际利润率</t>
        </is>
      </c>
    </row>
    <row r="4">
      <c r="A4" s="7" t="inlineStr">
        <is>
          <t>Q1</t>
        </is>
      </c>
      <c r="B4" s="13">
        <f>SUMIFS(预算明细!$D:$D,预算明细!$A:$A,A4,预算明细!$B:$B,"收入")</f>
        <v/>
      </c>
      <c r="C4" s="13">
        <f>SUMIFS(预算明细!$E:$E,预算明细!$A:$A,A4,预算明细!$B:$B,"收入")</f>
        <v/>
      </c>
      <c r="D4" s="13">
        <f>SUMIFS(预算明细!$D:$D,预算明细!$A:$A,A4,预算明细!$B:$B,"成本")</f>
        <v/>
      </c>
      <c r="E4" s="13">
        <f>SUMIFS(预算明细!$E:$E,预算明细!$A:$A,A4,预算明细!$B:$B,"成本")</f>
        <v/>
      </c>
      <c r="F4" s="13">
        <f>SUMIFS(预算明细!$D:$D,预算明细!$A:$A,A4,预算明细!$B:$B,"费用")</f>
        <v/>
      </c>
      <c r="G4" s="13">
        <f>SUMIFS(预算明细!$E:$E,预算明细!$A:$A,A4,预算明细!$B:$B,"费用")</f>
        <v/>
      </c>
      <c r="H4" s="13">
        <f>B4-D4-F4</f>
        <v/>
      </c>
      <c r="I4" s="13">
        <f>C4-E4-G4</f>
        <v/>
      </c>
      <c r="J4" s="14">
        <f>IF(C4=0,"",I4/C4)</f>
        <v/>
      </c>
    </row>
    <row r="5">
      <c r="A5" s="7" t="inlineStr">
        <is>
          <t>Q2</t>
        </is>
      </c>
      <c r="B5" s="13">
        <f>SUMIFS(预算明细!$D:$D,预算明细!$A:$A,A5,预算明细!$B:$B,"收入")</f>
        <v/>
      </c>
      <c r="C5" s="13">
        <f>SUMIFS(预算明细!$E:$E,预算明细!$A:$A,A5,预算明细!$B:$B,"收入")</f>
        <v/>
      </c>
      <c r="D5" s="13">
        <f>SUMIFS(预算明细!$D:$D,预算明细!$A:$A,A5,预算明细!$B:$B,"成本")</f>
        <v/>
      </c>
      <c r="E5" s="13">
        <f>SUMIFS(预算明细!$E:$E,预算明细!$A:$A,A5,预算明细!$B:$B,"成本")</f>
        <v/>
      </c>
      <c r="F5" s="13">
        <f>SUMIFS(预算明细!$D:$D,预算明细!$A:$A,A5,预算明细!$B:$B,"费用")</f>
        <v/>
      </c>
      <c r="G5" s="13">
        <f>SUMIFS(预算明细!$E:$E,预算明细!$A:$A,A5,预算明细!$B:$B,"费用")</f>
        <v/>
      </c>
      <c r="H5" s="13">
        <f>B5-D5-F5</f>
        <v/>
      </c>
      <c r="I5" s="13">
        <f>C5-E5-G5</f>
        <v/>
      </c>
      <c r="J5" s="14">
        <f>IF(C5=0,"",I5/C5)</f>
        <v/>
      </c>
    </row>
    <row r="6">
      <c r="A6" s="7" t="inlineStr">
        <is>
          <t>Q3</t>
        </is>
      </c>
      <c r="B6" s="13">
        <f>SUMIFS(预算明细!$D:$D,预算明细!$A:$A,A6,预算明细!$B:$B,"收入")</f>
        <v/>
      </c>
      <c r="C6" s="13">
        <f>SUMIFS(预算明细!$E:$E,预算明细!$A:$A,A6,预算明细!$B:$B,"收入")</f>
        <v/>
      </c>
      <c r="D6" s="13">
        <f>SUMIFS(预算明细!$D:$D,预算明细!$A:$A,A6,预算明细!$B:$B,"成本")</f>
        <v/>
      </c>
      <c r="E6" s="13">
        <f>SUMIFS(预算明细!$E:$E,预算明细!$A:$A,A6,预算明细!$B:$B,"成本")</f>
        <v/>
      </c>
      <c r="F6" s="13">
        <f>SUMIFS(预算明细!$D:$D,预算明细!$A:$A,A6,预算明细!$B:$B,"费用")</f>
        <v/>
      </c>
      <c r="G6" s="13">
        <f>SUMIFS(预算明细!$E:$E,预算明细!$A:$A,A6,预算明细!$B:$B,"费用")</f>
        <v/>
      </c>
      <c r="H6" s="13">
        <f>B6-D6-F6</f>
        <v/>
      </c>
      <c r="I6" s="13">
        <f>C6-E6-G6</f>
        <v/>
      </c>
      <c r="J6" s="14">
        <f>IF(C6=0,"",I6/C6)</f>
        <v/>
      </c>
    </row>
    <row r="7">
      <c r="A7" s="7" t="inlineStr">
        <is>
          <t>Q4</t>
        </is>
      </c>
      <c r="B7" s="13">
        <f>SUMIFS(预算明细!$D:$D,预算明细!$A:$A,A7,预算明细!$B:$B,"收入")</f>
        <v/>
      </c>
      <c r="C7" s="13">
        <f>SUMIFS(预算明细!$E:$E,预算明细!$A:$A,A7,预算明细!$B:$B,"收入")</f>
        <v/>
      </c>
      <c r="D7" s="13">
        <f>SUMIFS(预算明细!$D:$D,预算明细!$A:$A,A7,预算明细!$B:$B,"成本")</f>
        <v/>
      </c>
      <c r="E7" s="13">
        <f>SUMIFS(预算明细!$E:$E,预算明细!$A:$A,A7,预算明细!$B:$B,"成本")</f>
        <v/>
      </c>
      <c r="F7" s="13">
        <f>SUMIFS(预算明细!$D:$D,预算明细!$A:$A,A7,预算明细!$B:$B,"费用")</f>
        <v/>
      </c>
      <c r="G7" s="13">
        <f>SUMIFS(预算明细!$E:$E,预算明细!$A:$A,A7,预算明细!$B:$B,"费用")</f>
        <v/>
      </c>
      <c r="H7" s="13">
        <f>B7-D7-F7</f>
        <v/>
      </c>
      <c r="I7" s="13">
        <f>C7-E7-G7</f>
        <v/>
      </c>
      <c r="J7" s="14">
        <f>IF(C7=0,"",I7/C7)</f>
        <v/>
      </c>
    </row>
    <row r="8">
      <c r="A8" s="7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</row>
    <row r="9">
      <c r="A9" s="15" t="inlineStr">
        <is>
          <t>全年合计</t>
        </is>
      </c>
      <c r="B9" s="16">
        <f>SUM(B4:B7)</f>
        <v/>
      </c>
      <c r="C9" s="16">
        <f>SUM(C4:C7)</f>
        <v/>
      </c>
      <c r="D9" s="16">
        <f>SUM(D4:D7)</f>
        <v/>
      </c>
      <c r="E9" s="16">
        <f>SUM(E4:E7)</f>
        <v/>
      </c>
      <c r="F9" s="16">
        <f>SUM(F4:F7)</f>
        <v/>
      </c>
      <c r="G9" s="16">
        <f>SUM(G4:G7)</f>
        <v/>
      </c>
      <c r="H9" s="16">
        <f>SUM(H4:H7)</f>
        <v/>
      </c>
      <c r="I9" s="16">
        <f>SUM(I4:I7)</f>
        <v/>
      </c>
      <c r="J9" s="17">
        <f>IF(C9=0,"",I9/C9)</f>
        <v/>
      </c>
    </row>
  </sheetData>
  <mergeCells count="1">
    <mergeCell ref="A1:J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10" t="inlineStr">
        <is>
          <t>模型检查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检查项</t>
        </is>
      </c>
      <c r="B3" s="3" t="inlineStr">
        <is>
          <t>实际值</t>
        </is>
      </c>
      <c r="C3" s="3" t="inlineStr">
        <is>
          <t>期望值</t>
        </is>
      </c>
      <c r="D3" s="3" t="inlineStr">
        <is>
          <t>差异</t>
        </is>
      </c>
      <c r="E3" s="3" t="inlineStr">
        <is>
          <t>容忍度</t>
        </is>
      </c>
      <c r="F3" s="3" t="inlineStr">
        <is>
          <t>状态</t>
        </is>
      </c>
    </row>
    <row r="4">
      <c r="A4" s="7" t="inlineStr">
        <is>
          <t>收入汇总一致</t>
        </is>
      </c>
      <c r="B4" s="8">
        <f>SUM(季度汇总!B4:B7)</f>
        <v/>
      </c>
      <c r="C4" s="8">
        <f>SUMIFS(预算明细!D:D,预算明细!B:B,"收入")</f>
        <v/>
      </c>
      <c r="D4" s="8">
        <f>B4-C4</f>
        <v/>
      </c>
      <c r="E4" s="7" t="n">
        <v>1</v>
      </c>
      <c r="F4" s="7">
        <f>IF(ABS(D4)&lt;=E4,"OK","检查")</f>
        <v/>
      </c>
    </row>
    <row r="5">
      <c r="A5" s="7" t="inlineStr">
        <is>
          <t>实际收入汇总一致</t>
        </is>
      </c>
      <c r="B5" s="8">
        <f>SUM(季度汇总!C4:C7)</f>
        <v/>
      </c>
      <c r="C5" s="8">
        <f>SUMIFS(预算明细!E:E,预算明细!B:B,"收入")</f>
        <v/>
      </c>
      <c r="D5" s="8">
        <f>B5-C5</f>
        <v/>
      </c>
      <c r="E5" s="7" t="n">
        <v>1</v>
      </c>
      <c r="F5" s="7">
        <f>IF(ABS(D5)&lt;=E5,"OK","检查")</f>
        <v/>
      </c>
    </row>
    <row r="6">
      <c r="A6" s="7" t="inlineStr">
        <is>
          <t>利润率达标</t>
        </is>
      </c>
      <c r="B6" s="9">
        <f>季度汇总!J9</f>
        <v/>
      </c>
      <c r="C6" s="9">
        <f>预算假设!B15</f>
        <v/>
      </c>
      <c r="D6" s="9">
        <f>B6-C6</f>
        <v/>
      </c>
      <c r="E6" s="7" t="n">
        <v>0</v>
      </c>
      <c r="F6" s="7">
        <f>IF(B6&gt;=C6,"OK","关注")</f>
        <v/>
      </c>
    </row>
  </sheetData>
  <mergeCells count="1">
    <mergeCell ref="A1:F1"/>
  </mergeCells>
  <conditionalFormatting sqref="F4:F6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2026-06-24T04:14:28Z</dcterms:created>
  <dcterms:modified xmlns:dcterms="http://purl.org/dc/terms/" xmlns:xsi="http://www.w3.org/2001/XMLSchema-instance" xsi:type="dcterms:W3CDTF">2026-06-24T04:14:29Z</dcterms:modified>
</cp:coreProperties>
</file>